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\Documents\Bootcamp\Modulo 2\"/>
    </mc:Choice>
  </mc:AlternateContent>
  <xr:revisionPtr revIDLastSave="0" documentId="13_ncr:1_{EF95742E-38D7-44A1-8DEA-0C048DD5B448}" xr6:coauthVersionLast="47" xr6:coauthVersionMax="47" xr10:uidLastSave="{00000000-0000-0000-0000-000000000000}"/>
  <bookViews>
    <workbookView xWindow="-120" yWindow="-120" windowWidth="29040" windowHeight="15990" activeTab="4" xr2:uid="{00000000-000D-0000-FFFF-FFFF00000000}"/>
  </bookViews>
  <sheets>
    <sheet name="2017" sheetId="1" r:id="rId1"/>
    <sheet name="Hoja1" sheetId="7" r:id="rId2"/>
    <sheet name="2018" sheetId="2" r:id="rId3"/>
    <sheet name="DQ Analysis" sheetId="4" r:id="rId4"/>
    <sheet name="All Stocks Analysis" sheetId="5" r:id="rId5"/>
    <sheet name="Skill_Drill" sheetId="6" r:id="rId6"/>
  </sheets>
  <definedNames>
    <definedName name="_xlnm._FilterDatabase" localSheetId="2" hidden="1">'2018'!$I$1:$I$3014</definedName>
  </definedNames>
  <calcPr calcId="191029"/>
  <pivotCaches>
    <pivotCache cacheId="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52" i="2" l="1"/>
  <c r="K252" i="2" s="1"/>
  <c r="F15" i="7"/>
  <c r="F14" i="7"/>
  <c r="F13" i="7"/>
  <c r="F12" i="7"/>
  <c r="F11" i="7"/>
  <c r="F10" i="7"/>
  <c r="F9" i="7"/>
  <c r="F8" i="7"/>
  <c r="F7" i="7"/>
  <c r="F6" i="7"/>
  <c r="F5" i="7"/>
  <c r="F4" i="7"/>
</calcChain>
</file>

<file path=xl/sharedStrings.xml><?xml version="1.0" encoding="utf-8"?>
<sst xmlns="http://schemas.openxmlformats.org/spreadsheetml/2006/main" count="12102" uniqueCount="533">
  <si>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</si>
  <si>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</si>
  <si>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</si>
  <si>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</si>
  <si>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</si>
  <si>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</si>
  <si>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</si>
  <si>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</si>
  <si>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</si>
  <si>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</si>
  <si>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</si>
  <si>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</si>
  <si>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</si>
  <si>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</si>
  <si>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</si>
  <si>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</si>
  <si>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</si>
  <si>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</si>
  <si>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</si>
  <si>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</si>
  <si>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</si>
  <si>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</si>
  <si>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</si>
  <si>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</si>
  <si>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</si>
  <si>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</si>
  <si>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</si>
  <si>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</si>
  <si>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</si>
  <si>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</si>
  <si>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</si>
  <si>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</si>
  <si>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</si>
  <si>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</si>
  <si>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</si>
  <si>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</si>
  <si>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</si>
  <si>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</si>
  <si>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</si>
  <si>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</si>
  <si>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</si>
  <si>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</si>
  <si>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</si>
  <si>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</si>
  <si>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</si>
  <si>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</si>
  <si>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</si>
  <si>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</si>
  <si>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</si>
  <si>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</si>
  <si>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</si>
  <si>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</si>
  <si>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</si>
  <si>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</si>
  <si>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</si>
  <si>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</si>
  <si>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</si>
  <si>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</si>
  <si>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</si>
  <si>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</si>
  <si>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</si>
  <si>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</si>
  <si>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</si>
  <si>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</si>
  <si>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</si>
  <si>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</si>
  <si>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</si>
  <si>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</si>
  <si>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</si>
  <si>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</si>
  <si>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</si>
  <si>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</si>
  <si>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</si>
  <si>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</si>
  <si>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</si>
  <si>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</si>
  <si>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</si>
  <si>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</si>
  <si>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</si>
  <si>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</si>
  <si>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</si>
  <si>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</si>
  <si>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</si>
  <si>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</si>
  <si>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</si>
  <si>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</si>
  <si>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</si>
  <si>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</si>
  <si>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</si>
  <si>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</si>
  <si>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</si>
  <si>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</si>
  <si>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</si>
  <si>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</si>
  <si>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</si>
  <si>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</si>
  <si>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</si>
  <si>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</si>
  <si>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</si>
  <si>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</si>
  <si>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</si>
  <si>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</si>
  <si>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</si>
  <si>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</si>
  <si>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</si>
  <si>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</si>
  <si>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</si>
  <si>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</si>
  <si>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</si>
  <si>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</si>
  <si>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</si>
  <si>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</si>
  <si>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</si>
  <si>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</si>
  <si>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</si>
  <si>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</si>
  <si>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</si>
  <si>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</si>
  <si>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</si>
  <si>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</si>
  <si>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</si>
  <si>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</si>
  <si>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</si>
  <si>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</si>
  <si>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</si>
  <si>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</si>
  <si>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</si>
  <si>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</si>
  <si>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</si>
  <si>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</si>
  <si>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</si>
  <si>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</si>
  <si>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</si>
  <si>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</si>
  <si>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</si>
  <si>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</si>
  <si>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</si>
  <si>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</si>
  <si>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</si>
  <si>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</si>
  <si>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</si>
  <si>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</si>
  <si>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</si>
  <si>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</si>
  <si>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</si>
  <si>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</si>
  <si>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</si>
  <si>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</si>
  <si>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</si>
  <si>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</si>
  <si>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</si>
  <si>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</si>
  <si>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</si>
  <si>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</si>
  <si>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</si>
  <si>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</si>
  <si>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</si>
  <si>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</si>
  <si>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</si>
  <si>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</si>
  <si>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</si>
  <si>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</si>
  <si>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</si>
  <si>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</si>
  <si>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</si>
  <si>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</si>
  <si>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</si>
  <si>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</si>
  <si>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</si>
  <si>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</si>
  <si>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</si>
  <si>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</si>
  <si>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</si>
  <si>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</si>
  <si>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</si>
  <si>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</si>
  <si>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</si>
  <si>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</si>
  <si>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</si>
  <si>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</si>
  <si>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</si>
  <si>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</si>
  <si>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</si>
  <si>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</si>
  <si>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</si>
  <si>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</si>
  <si>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</si>
  <si>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</si>
  <si>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</si>
  <si>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</si>
  <si>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</si>
  <si>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</si>
  <si>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</si>
  <si>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</si>
  <si>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</si>
  <si>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</si>
  <si>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</si>
  <si>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</si>
  <si>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</si>
  <si>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</si>
  <si>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</si>
  <si>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</si>
  <si>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</si>
  <si>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</si>
  <si>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</si>
  <si>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</si>
  <si>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</si>
  <si>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</si>
  <si>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</si>
  <si>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</si>
  <si>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</si>
  <si>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</si>
  <si>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</si>
  <si>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</si>
  <si>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</si>
  <si>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</si>
  <si>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</si>
  <si>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</si>
  <si>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</si>
  <si>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</si>
  <si>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</si>
  <si>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</si>
  <si>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</si>
  <si>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</si>
  <si>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</si>
  <si>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</si>
  <si>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</si>
  <si>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</si>
  <si>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</si>
  <si>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</si>
  <si>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</si>
  <si>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</si>
  <si>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</si>
  <si>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</si>
  <si>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</si>
  <si>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</si>
  <si>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</si>
  <si>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</si>
  <si>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</si>
  <si>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</si>
  <si>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</si>
  <si>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</si>
  <si>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</si>
  <si>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</si>
  <si>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</si>
  <si>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</si>
  <si>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</si>
  <si>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</si>
  <si>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</si>
  <si>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</si>
  <si>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</si>
  <si>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</si>
  <si>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</si>
  <si>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</si>
  <si>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</si>
  <si>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</si>
  <si>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</si>
  <si>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</si>
  <si>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</si>
  <si>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</si>
  <si>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</si>
  <si>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</si>
  <si>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</si>
  <si>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</si>
  <si>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</si>
  <si>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</si>
  <si>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</si>
  <si>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</si>
  <si>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</si>
  <si>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</si>
  <si>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</si>
  <si>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</si>
  <si>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</si>
  <si>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</si>
  <si>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</si>
  <si>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</si>
  <si>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</si>
  <si>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</si>
  <si>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</si>
  <si>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</si>
  <si>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</si>
  <si>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</si>
  <si>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</si>
  <si>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</si>
  <si>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</si>
  <si>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</si>
  <si>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</si>
  <si>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</si>
  <si>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</si>
  <si>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</si>
  <si>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</si>
  <si>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</si>
  <si>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</si>
  <si>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</si>
  <si>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</si>
  <si>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</si>
  <si>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</si>
  <si>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</si>
  <si>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</si>
  <si>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</si>
  <si>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</si>
  <si>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</si>
  <si>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</si>
  <si>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</si>
  <si>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</si>
  <si>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</si>
  <si>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</si>
  <si>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</si>
  <si>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</si>
  <si>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</si>
  <si>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</si>
  <si>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</si>
  <si>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</si>
  <si>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</si>
  <si>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</si>
  <si>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</si>
  <si>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</si>
  <si>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</si>
  <si>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</si>
  <si>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</si>
  <si>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</si>
  <si>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</si>
  <si>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</si>
  <si>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</si>
  <si>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</si>
  <si>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</si>
  <si>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</si>
  <si>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</si>
  <si>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</si>
  <si>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</si>
  <si>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</si>
  <si>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</si>
  <si>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</si>
  <si>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</si>
  <si>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</si>
  <si>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</si>
  <si>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</si>
  <si>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</si>
  <si>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</si>
  <si>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</si>
  <si>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</si>
  <si>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</si>
  <si>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</si>
  <si>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</si>
  <si>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</si>
  <si>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</si>
  <si>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</si>
  <si>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</si>
  <si>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</si>
  <si>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</si>
  <si>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</si>
  <si>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</si>
  <si>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</si>
  <si>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</si>
  <si>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</si>
  <si>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</si>
  <si>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</si>
  <si>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</si>
  <si>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</si>
  <si>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</si>
  <si>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</si>
  <si>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</si>
  <si>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</si>
  <si>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</si>
  <si>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</si>
  <si>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</si>
  <si>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</si>
  <si>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</si>
  <si>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</si>
  <si>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</si>
  <si>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</si>
  <si>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</si>
  <si>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</si>
  <si>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</si>
  <si>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</si>
  <si>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</si>
  <si>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</si>
  <si>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</si>
  <si>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</si>
  <si>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</si>
  <si>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</si>
  <si>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</si>
  <si>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</si>
  <si>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</si>
  <si>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</si>
  <si>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</si>
  <si>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</si>
  <si>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</si>
  <si>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</si>
  <si>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</si>
  <si>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</si>
  <si>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</si>
  <si>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</si>
  <si>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</si>
  <si>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</si>
  <si>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</si>
  <si>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</si>
  <si>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</si>
  <si>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</si>
  <si>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</si>
  <si>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</si>
  <si>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</si>
  <si>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</si>
  <si>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</si>
  <si>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</si>
  <si>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</si>
  <si>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</si>
  <si>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</si>
  <si>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</si>
  <si>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</si>
  <si>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</si>
  <si>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</si>
  <si>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</si>
  <si>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</si>
  <si>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</si>
  <si>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</si>
  <si>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</si>
  <si>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</si>
  <si>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</si>
  <si>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</si>
  <si>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</si>
  <si>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</si>
  <si>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</si>
  <si>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</si>
  <si>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</si>
  <si>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</si>
  <si>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</si>
  <si>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</si>
  <si>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</si>
  <si>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</si>
  <si>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</si>
  <si>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</si>
  <si>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</si>
  <si>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</si>
  <si>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</si>
  <si>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</si>
  <si>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</si>
  <si>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</si>
  <si>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</si>
  <si>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</si>
  <si>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</si>
  <si>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</si>
  <si>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</si>
  <si>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</si>
  <si>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</si>
  <si>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</si>
  <si>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</si>
  <si>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</si>
  <si>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</si>
  <si>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</si>
  <si>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</si>
  <si>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</si>
  <si>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</si>
  <si>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</si>
  <si>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</si>
  <si>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</si>
  <si>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</si>
  <si>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</si>
  <si>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</si>
  <si>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</si>
  <si>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</si>
  <si>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</si>
  <si>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</si>
  <si>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</si>
  <si>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</si>
  <si>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</si>
  <si>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</si>
  <si>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</si>
  <si>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</si>
  <si>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</si>
  <si>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</si>
  <si>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</si>
  <si>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</si>
  <si>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</si>
  <si>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</si>
  <si>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</si>
  <si>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</si>
  <si>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</si>
  <si>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</si>
  <si>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</si>
  <si>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</si>
  <si>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</si>
  <si>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</si>
  <si>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</si>
  <si>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</si>
  <si>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</si>
  <si>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</si>
  <si>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</si>
  <si>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</si>
  <si>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</si>
  <si>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</si>
  <si>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</si>
  <si>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</si>
  <si>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</si>
  <si>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</si>
  <si>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</si>
  <si>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</si>
  <si>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</si>
  <si>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</si>
  <si>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</si>
  <si>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</si>
  <si>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</si>
  <si>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</si>
  <si>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</si>
  <si>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</si>
  <si>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</si>
  <si>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</si>
  <si>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</si>
  <si>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</si>
  <si>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</si>
  <si>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</si>
  <si>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</si>
  <si>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</si>
  <si>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</si>
  <si>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</si>
  <si>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</si>
  <si>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</si>
  <si>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</si>
  <si>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</si>
  <si>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</si>
  <si>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</si>
  <si>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</si>
  <si>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</si>
  <si>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</si>
  <si>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</si>
  <si>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</si>
  <si>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Etiquetas de fila</t>
  </si>
  <si>
    <t>Total general</t>
  </si>
  <si>
    <t>Suma de Volume</t>
  </si>
  <si>
    <t>Suma de Open</t>
  </si>
  <si>
    <t>Suma de Close</t>
  </si>
  <si>
    <t>Suma de Adj Close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</si>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</sst>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5" formatCode="0.0%"/>
    <numFmt numFmtId="166" formatCode="0.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2" applyNumberFormat="1" applyFont="1"/>
    <xf numFmtId="166" fontId="0" fillId="0" borderId="0" xfId="2" applyNumberFormat="1" applyFont="1"/>
    <xf numFmtId="165" fontId="0" fillId="3" borderId="0" xfId="0" applyNumberFormat="1" applyFill="1"/>
    <xf numFmtId="165" fontId="0" fillId="2" borderId="0" xfId="0" applyNumberFormat="1" applyFill="1"/>
    <xf numFmtId="0" fontId="0" fillId="4" borderId="0" xfId="0" applyFill="1"/>
    <xf numFmtId="0" fontId="1" fillId="4" borderId="2" xfId="0" applyFont="1" applyFill="1" applyBorder="1"/>
    <xf numFmtId="3" fontId="0" fillId="4" borderId="0" xfId="0" applyNumberFormat="1" applyFill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6</xdr:row>
          <xdr:rowOff>66675</xdr:rowOff>
        </xdr:from>
        <xdr:to>
          <xdr:col>7</xdr:col>
          <xdr:colOff>742950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3</xdr:row>
          <xdr:rowOff>47625</xdr:rowOff>
        </xdr:from>
        <xdr:to>
          <xdr:col>13</xdr:col>
          <xdr:colOff>38100</xdr:colOff>
          <xdr:row>18</xdr:row>
          <xdr:rowOff>57150</xdr:rowOff>
        </xdr:to>
        <xdr:pic>
          <xdr:nvPicPr>
            <xdr:cNvPr id="3" name="Imagen 2">
              <a:extLst>
                <a:ext uri="{FF2B5EF4-FFF2-40B4-BE49-F238E27FC236}">
                  <a16:creationId xmlns:a16="http://schemas.microsoft.com/office/drawing/2014/main" id="{B86AF127-42AC-4A00-A8A3-637F2E3ACE3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:$C$15" spid="_x0000_s10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648575" y="619125"/>
              <a:ext cx="3019425" cy="2867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C" refreshedDate="44473.613325115744" createdVersion="7" refreshedVersion="7" minRefreshableVersion="3" recordCount="3012" xr:uid="{52AEDB04-537E-466A-891B-13402950EF2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6C8072-8D80-4CD1-AAD8-1CA197D146FF}" name="TablaDinámica1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E16" firstHeaderRow="0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Volume" fld="7" baseField="0" baseItem="0"/>
    <dataField name="Suma de Open" fld="2" baseField="0" baseItem="0"/>
    <dataField name="Suma de Close" fld="5" baseField="0" baseItem="0"/>
    <dataField name="Suma de Adj Clos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7D26F-AB37-47A2-844A-E3159F1743C8}">
  <sheetPr codeName="Hoja4"/>
  <dimension ref="A3:F16"/>
  <sheetViews>
    <sheetView workbookViewId="0">
      <selection activeCell="D17" sqref="D17"/>
    </sheetView>
  </sheetViews>
  <sheetFormatPr baseColWidth="10" defaultRowHeight="15" x14ac:dyDescent="0.25"/>
  <cols>
    <col min="1" max="1" width="17.5703125" bestFit="1" customWidth="1"/>
    <col min="2" max="2" width="16.140625" bestFit="1" customWidth="1"/>
    <col min="3" max="4" width="13.85546875" bestFit="1" customWidth="1"/>
    <col min="5" max="5" width="17.42578125" bestFit="1" customWidth="1"/>
  </cols>
  <sheetData>
    <row r="3" spans="1:6" x14ac:dyDescent="0.25">
      <c r="A3" s="4" t="s">
        <v>526</v>
      </c>
      <c r="B3" t="s">
        <v>528</v>
      </c>
      <c r="C3" t="s">
        <v>529</v>
      </c>
      <c r="D3" t="s">
        <v>530</v>
      </c>
      <c r="E3" t="s">
        <v>531</v>
      </c>
    </row>
    <row r="4" spans="1:6" x14ac:dyDescent="0.25">
      <c r="A4" s="5" t="s">
        <v>8</v>
      </c>
      <c r="B4" s="6">
        <v>83079900</v>
      </c>
      <c r="C4" s="6">
        <v>5056.6700020000026</v>
      </c>
      <c r="D4" s="6">
        <v>5051.4850120000001</v>
      </c>
      <c r="E4" s="6">
        <v>4773.6331719999989</v>
      </c>
      <c r="F4" s="7">
        <f>(+E4/C4)-1</f>
        <v>-5.5972968354284003E-2</v>
      </c>
    </row>
    <row r="5" spans="1:6" x14ac:dyDescent="0.25">
      <c r="A5" s="5" t="s">
        <v>9</v>
      </c>
      <c r="B5" s="6">
        <v>200879900</v>
      </c>
      <c r="C5" s="6">
        <v>3761.4900020000009</v>
      </c>
      <c r="D5" s="6">
        <v>3760.6499850000009</v>
      </c>
      <c r="E5" s="6">
        <v>3760.6499850000009</v>
      </c>
      <c r="F5" s="7">
        <f t="shared" ref="F5:F15" si="0">(+E5/C5)-1</f>
        <v>-2.2332027987670422E-4</v>
      </c>
    </row>
    <row r="6" spans="1:6" x14ac:dyDescent="0.25">
      <c r="A6" s="5" t="s">
        <v>10</v>
      </c>
      <c r="B6" s="6">
        <v>107873900</v>
      </c>
      <c r="C6" s="6">
        <v>10332.259989000006</v>
      </c>
      <c r="D6" s="6">
        <v>10298.289975999998</v>
      </c>
      <c r="E6" s="6">
        <v>10298.289975999998</v>
      </c>
      <c r="F6" s="7">
        <f t="shared" si="0"/>
        <v>-3.2877621194368212E-3</v>
      </c>
    </row>
    <row r="7" spans="1:6" x14ac:dyDescent="0.25">
      <c r="A7" s="5" t="s">
        <v>11</v>
      </c>
      <c r="B7" s="6">
        <v>607473500</v>
      </c>
      <c r="C7" s="6">
        <v>1181.01</v>
      </c>
      <c r="D7" s="6">
        <v>1181.1600000000001</v>
      </c>
      <c r="E7" s="6">
        <v>1181.1600000000001</v>
      </c>
      <c r="F7" s="7">
        <f t="shared" si="0"/>
        <v>1.2700993217684697E-4</v>
      </c>
    </row>
    <row r="8" spans="1:6" x14ac:dyDescent="0.25">
      <c r="A8" s="5" t="s">
        <v>12</v>
      </c>
      <c r="B8" s="6">
        <v>478113900</v>
      </c>
      <c r="C8" s="6">
        <v>14402.450015000002</v>
      </c>
      <c r="D8" s="6">
        <v>14373.140015000001</v>
      </c>
      <c r="E8" s="6">
        <v>14373.140015000001</v>
      </c>
      <c r="F8" s="7">
        <f t="shared" si="0"/>
        <v>-2.0350704199267877E-3</v>
      </c>
    </row>
    <row r="9" spans="1:6" x14ac:dyDescent="0.25">
      <c r="A9" s="5" t="s">
        <v>13</v>
      </c>
      <c r="B9" s="6">
        <v>104340600</v>
      </c>
      <c r="C9" s="6">
        <v>5115.5299860000014</v>
      </c>
      <c r="D9" s="6">
        <v>5110.5200020000038</v>
      </c>
      <c r="E9" s="6">
        <v>4844.7500300000011</v>
      </c>
      <c r="F9" s="7">
        <f t="shared" si="0"/>
        <v>-5.2932923224193962E-2</v>
      </c>
    </row>
    <row r="10" spans="1:6" x14ac:dyDescent="0.25">
      <c r="A10" s="5" t="s">
        <v>14</v>
      </c>
      <c r="B10" s="6">
        <v>158309000</v>
      </c>
      <c r="C10" s="6">
        <v>3806.0799940000006</v>
      </c>
      <c r="D10" s="6">
        <v>3789.1200000000003</v>
      </c>
      <c r="E10" s="6">
        <v>3789.1200000000003</v>
      </c>
      <c r="F10" s="7">
        <f t="shared" si="0"/>
        <v>-4.4560266801371151E-3</v>
      </c>
    </row>
    <row r="11" spans="1:6" x14ac:dyDescent="0.25">
      <c r="A11" s="5" t="s">
        <v>15</v>
      </c>
      <c r="B11" s="6">
        <v>502757100</v>
      </c>
      <c r="C11" s="6">
        <v>2770.0050000000001</v>
      </c>
      <c r="D11" s="6">
        <v>2775.4050000000011</v>
      </c>
      <c r="E11" s="6">
        <v>2775.4050000000011</v>
      </c>
      <c r="F11" s="7">
        <f t="shared" si="0"/>
        <v>1.9494549648830795E-3</v>
      </c>
    </row>
    <row r="12" spans="1:6" x14ac:dyDescent="0.25">
      <c r="A12" s="5" t="s">
        <v>16</v>
      </c>
      <c r="B12" s="6">
        <v>237212300</v>
      </c>
      <c r="C12" s="6">
        <v>11674.109988000004</v>
      </c>
      <c r="D12" s="6">
        <v>11664.140029000009</v>
      </c>
      <c r="E12" s="6">
        <v>11664.140029000009</v>
      </c>
      <c r="F12" s="7">
        <f t="shared" si="0"/>
        <v>-8.5402304845871857E-4</v>
      </c>
    </row>
    <row r="13" spans="1:6" x14ac:dyDescent="0.25">
      <c r="A13" s="5" t="s">
        <v>17</v>
      </c>
      <c r="B13" s="6">
        <v>538024300</v>
      </c>
      <c r="C13" s="6">
        <v>1869.2300000000009</v>
      </c>
      <c r="D13" s="6">
        <v>1865.6400000000003</v>
      </c>
      <c r="E13" s="6">
        <v>1865.6400000000003</v>
      </c>
      <c r="F13" s="7">
        <f t="shared" si="0"/>
        <v>-1.9205769220483893E-3</v>
      </c>
    </row>
    <row r="14" spans="1:6" x14ac:dyDescent="0.25">
      <c r="A14" s="5" t="s">
        <v>18</v>
      </c>
      <c r="B14" s="6">
        <v>151434700</v>
      </c>
      <c r="C14" s="6">
        <v>2813.3300000000004</v>
      </c>
      <c r="D14" s="6">
        <v>2808.8200000000006</v>
      </c>
      <c r="E14" s="6">
        <v>2671.3422530000007</v>
      </c>
      <c r="F14" s="7">
        <f t="shared" si="0"/>
        <v>-5.0469638115684834E-2</v>
      </c>
    </row>
    <row r="15" spans="1:6" x14ac:dyDescent="0.25">
      <c r="A15" s="5" t="s">
        <v>19</v>
      </c>
      <c r="B15" s="6">
        <v>136539100</v>
      </c>
      <c r="C15" s="6">
        <v>1138.0000000000005</v>
      </c>
      <c r="D15" s="6">
        <v>1137.1399999999999</v>
      </c>
      <c r="E15" s="6">
        <v>1137.1399999999999</v>
      </c>
      <c r="F15" s="7">
        <f t="shared" si="0"/>
        <v>-7.5571177504440978E-4</v>
      </c>
    </row>
    <row r="16" spans="1:6" x14ac:dyDescent="0.25">
      <c r="A16" s="5" t="s">
        <v>527</v>
      </c>
      <c r="B16" s="6">
        <v>3306038200</v>
      </c>
      <c r="C16" s="6">
        <v>63920.164976000015</v>
      </c>
      <c r="D16" s="6">
        <v>63815.510019000016</v>
      </c>
      <c r="E16" s="6">
        <v>63134.410460000014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G1" sqref="G1"/>
    </sheetView>
  </sheetViews>
  <sheetFormatPr baseColWidth="10" defaultColWidth="8.85546875"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13.140625" style="3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11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11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11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11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11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11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11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11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11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11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11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11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J252">
        <f>+G252/G2</f>
        <v>0.99205273574108666</v>
      </c>
      <c r="K252" s="8">
        <f>+J252-1</f>
        <v>-7.9472642589133446E-3</v>
      </c>
    </row>
    <row r="253" spans="1:11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11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11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1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AEAA6-9EA2-4B2F-91F3-4F8D5803A5EB}">
  <sheetPr codeName="Hoja2"/>
  <dimension ref="A1:C4"/>
  <sheetViews>
    <sheetView workbookViewId="0">
      <selection activeCell="C4" sqref="C4"/>
    </sheetView>
  </sheetViews>
  <sheetFormatPr baseColWidth="10" defaultRowHeight="15" x14ac:dyDescent="0.25"/>
  <cols>
    <col min="2" max="2" width="17.85546875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B4554-549A-4ABB-8010-3E9C5DE2F44C}">
  <sheetPr codeName="Hoja1"/>
  <dimension ref="A1:C15"/>
  <sheetViews>
    <sheetView showGridLines="0" tabSelected="1" workbookViewId="0">
      <selection activeCell="P11" sqref="P11"/>
    </sheetView>
  </sheetViews>
  <sheetFormatPr baseColWidth="10" defaultRowHeight="15" x14ac:dyDescent="0.25"/>
  <cols>
    <col min="1" max="1" width="15.85546875" bestFit="1" customWidth="1"/>
    <col min="2" max="2" width="17.85546875" bestFit="1" customWidth="1"/>
  </cols>
  <sheetData>
    <row r="1" spans="1:3" x14ac:dyDescent="0.25">
      <c r="A1" s="11" t="s">
        <v>532</v>
      </c>
      <c r="B1" s="11"/>
      <c r="C1" s="11"/>
    </row>
    <row r="2" spans="1:3" x14ac:dyDescent="0.25">
      <c r="A2" s="11"/>
      <c r="B2" s="11"/>
      <c r="C2" s="11"/>
    </row>
    <row r="3" spans="1:3" x14ac:dyDescent="0.25">
      <c r="A3" s="12" t="s">
        <v>0</v>
      </c>
      <c r="B3" s="12" t="s">
        <v>524</v>
      </c>
      <c r="C3" s="12" t="s">
        <v>525</v>
      </c>
    </row>
    <row r="4" spans="1:3" x14ac:dyDescent="0.25">
      <c r="A4" s="11" t="s">
        <v>8</v>
      </c>
      <c r="B4" s="13">
        <v>136070900</v>
      </c>
      <c r="C4" s="10">
        <v>8.9368253946304321E-2</v>
      </c>
    </row>
    <row r="5" spans="1:3" x14ac:dyDescent="0.25">
      <c r="A5" s="11" t="s">
        <v>9</v>
      </c>
      <c r="B5" s="13">
        <v>310592800</v>
      </c>
      <c r="C5" s="10">
        <v>0.33070248365402222</v>
      </c>
    </row>
    <row r="6" spans="1:3" x14ac:dyDescent="0.25">
      <c r="A6" s="11" t="s">
        <v>10</v>
      </c>
      <c r="B6" s="13">
        <v>35796200</v>
      </c>
      <c r="C6" s="10">
        <v>1.9944583177566528</v>
      </c>
    </row>
    <row r="7" spans="1:3" x14ac:dyDescent="0.25">
      <c r="A7" s="11" t="s">
        <v>11</v>
      </c>
      <c r="B7" s="13">
        <v>221772100</v>
      </c>
      <c r="C7" s="10">
        <v>1.2952382564544678</v>
      </c>
    </row>
    <row r="8" spans="1:3" x14ac:dyDescent="0.25">
      <c r="A8" s="11" t="s">
        <v>12</v>
      </c>
      <c r="B8" s="13">
        <v>684181400</v>
      </c>
      <c r="C8" s="10">
        <v>1.0131185054779053</v>
      </c>
    </row>
    <row r="9" spans="1:3" x14ac:dyDescent="0.25">
      <c r="A9" s="11" t="s">
        <v>13</v>
      </c>
      <c r="B9" s="13">
        <v>80949300</v>
      </c>
      <c r="C9" s="10">
        <v>0.2583681046962738</v>
      </c>
    </row>
    <row r="10" spans="1:3" x14ac:dyDescent="0.25">
      <c r="A10" s="11" t="s">
        <v>14</v>
      </c>
      <c r="B10" s="13">
        <v>191632200</v>
      </c>
      <c r="C10" s="10">
        <v>0.53870755434036255</v>
      </c>
    </row>
    <row r="11" spans="1:3" x14ac:dyDescent="0.25">
      <c r="A11" s="11" t="s">
        <v>15</v>
      </c>
      <c r="B11" s="13">
        <v>267681300</v>
      </c>
      <c r="C11" s="10">
        <v>5.5456161499023438E-2</v>
      </c>
    </row>
    <row r="12" spans="1:3" x14ac:dyDescent="0.25">
      <c r="A12" s="11" t="s">
        <v>16</v>
      </c>
      <c r="B12" s="13">
        <v>206885200</v>
      </c>
      <c r="C12" s="10">
        <v>1.8446969985961914</v>
      </c>
    </row>
    <row r="13" spans="1:3" x14ac:dyDescent="0.25">
      <c r="A13" s="11" t="s">
        <v>17</v>
      </c>
      <c r="B13" s="13">
        <v>782187000</v>
      </c>
      <c r="C13" s="10">
        <v>0.23065699636936188</v>
      </c>
    </row>
    <row r="14" spans="1:3" x14ac:dyDescent="0.25">
      <c r="A14" s="11" t="s">
        <v>18</v>
      </c>
      <c r="B14" s="13">
        <v>139402800</v>
      </c>
      <c r="C14" s="9">
        <v>-7.2148971259593964E-2</v>
      </c>
    </row>
    <row r="15" spans="1:3" x14ac:dyDescent="0.25">
      <c r="A15" s="11" t="s">
        <v>19</v>
      </c>
      <c r="B15" s="13">
        <v>109487900</v>
      </c>
      <c r="C15" s="10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504825</xdr:colOff>
                    <xdr:row>6</xdr:row>
                    <xdr:rowOff>66675</xdr:rowOff>
                  </from>
                  <to>
                    <xdr:col>7</xdr:col>
                    <xdr:colOff>742950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5D377-8266-423C-A4D5-C37CF9B12630}">
  <sheetPr codeName="Hoja3"/>
  <dimension ref="A1:J10"/>
  <sheetViews>
    <sheetView workbookViewId="0">
      <selection activeCell="K13" sqref="K13"/>
    </sheetView>
  </sheetViews>
  <sheetFormatPr baseColWidth="10"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2017</vt:lpstr>
      <vt:lpstr>Hoja1</vt:lpstr>
      <vt:lpstr>2018</vt:lpstr>
      <vt:lpstr>DQ Analysis</vt:lpstr>
      <vt:lpstr>All Stocks Analysis</vt:lpstr>
      <vt:lpstr>Skill_Drill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JC</cp:lastModifiedBy>
  <dcterms:created xsi:type="dcterms:W3CDTF">2019-05-02T20:23:55Z</dcterms:created>
  <dcterms:modified xsi:type="dcterms:W3CDTF">2021-10-04T20:49:38Z</dcterms:modified>
</cp:coreProperties>
</file>